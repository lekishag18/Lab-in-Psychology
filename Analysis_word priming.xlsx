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5-Word Priming/"/>
    </mc:Choice>
  </mc:AlternateContent>
  <xr:revisionPtr revIDLastSave="26" documentId="8_{69055B3E-96BC-4C8D-9F2D-2ACD2BA228CB}" xr6:coauthVersionLast="47" xr6:coauthVersionMax="47" xr10:uidLastSave="{9F30BBB9-C357-4E59-AB6E-8ED457E96C8C}"/>
  <bookViews>
    <workbookView xWindow="-98" yWindow="-98" windowWidth="21795" windowHeight="12975" activeTab="3" xr2:uid="{888374BA-82EA-4741-980C-9BD12DB920F1}"/>
  </bookViews>
  <sheets>
    <sheet name="P1" sheetId="1" r:id="rId1"/>
    <sheet name="P2" sheetId="2" r:id="rId2"/>
    <sheet name="P3" sheetId="3" r:id="rId3"/>
    <sheet name="P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4" i="4"/>
  <c r="G6" i="3"/>
  <c r="G5" i="3"/>
  <c r="G4" i="3"/>
  <c r="G5" i="2"/>
  <c r="G4" i="2"/>
  <c r="G3" i="2"/>
  <c r="G5" i="1"/>
  <c r="G6" i="1"/>
  <c r="G7" i="1"/>
</calcChain>
</file>

<file path=xl/sharedStrings.xml><?xml version="1.0" encoding="utf-8"?>
<sst xmlns="http://schemas.openxmlformats.org/spreadsheetml/2006/main" count="339" uniqueCount="59">
  <si>
    <t>test_words</t>
  </si>
  <si>
    <t>reference</t>
  </si>
  <si>
    <t>old_new</t>
  </si>
  <si>
    <t>bo_t_e</t>
  </si>
  <si>
    <t>bottle</t>
  </si>
  <si>
    <t>new</t>
  </si>
  <si>
    <t>p_st_y</t>
  </si>
  <si>
    <t>pastry</t>
  </si>
  <si>
    <t>old</t>
  </si>
  <si>
    <t>c_s_</t>
  </si>
  <si>
    <t>case</t>
  </si>
  <si>
    <t>t_hi_t</t>
  </si>
  <si>
    <t>tshirt</t>
  </si>
  <si>
    <t>k_y_</t>
  </si>
  <si>
    <t>keys</t>
  </si>
  <si>
    <t>c_m_ra</t>
  </si>
  <si>
    <t>camera</t>
  </si>
  <si>
    <t>_a_bl_</t>
  </si>
  <si>
    <t>marble</t>
  </si>
  <si>
    <t>p_li_e</t>
  </si>
  <si>
    <t>police</t>
  </si>
  <si>
    <t>ta_l_</t>
  </si>
  <si>
    <t>table</t>
  </si>
  <si>
    <t>_ru_s_</t>
  </si>
  <si>
    <t>cruise</t>
  </si>
  <si>
    <t>p_st_r</t>
  </si>
  <si>
    <t>poster</t>
  </si>
  <si>
    <t>_o_rd</t>
  </si>
  <si>
    <t>board</t>
  </si>
  <si>
    <t>c_s_io_</t>
  </si>
  <si>
    <t>cushion</t>
  </si>
  <si>
    <t>_ha_t</t>
  </si>
  <si>
    <t>chart</t>
  </si>
  <si>
    <t>l_pt_p</t>
  </si>
  <si>
    <t>laptop</t>
  </si>
  <si>
    <t>_ou_e</t>
  </si>
  <si>
    <t>mouse</t>
  </si>
  <si>
    <t>p_nc_l</t>
  </si>
  <si>
    <t>pencil</t>
  </si>
  <si>
    <t>_oo_</t>
  </si>
  <si>
    <t>book</t>
  </si>
  <si>
    <t>v_s_</t>
  </si>
  <si>
    <t>vase</t>
  </si>
  <si>
    <t>_ho_e</t>
  </si>
  <si>
    <t>phone</t>
  </si>
  <si>
    <t>textbox.text</t>
  </si>
  <si>
    <t xml:space="preserve">pastry
</t>
  </si>
  <si>
    <t>t-shirt</t>
  </si>
  <si>
    <t>-</t>
  </si>
  <si>
    <t>proprotion of primed word</t>
  </si>
  <si>
    <t>proprotion of non-primed word</t>
  </si>
  <si>
    <t>word score</t>
  </si>
  <si>
    <t>pastery</t>
  </si>
  <si>
    <t>bootie</t>
  </si>
  <si>
    <t xml:space="preserve">police
</t>
  </si>
  <si>
    <t>chose</t>
  </si>
  <si>
    <t xml:space="preserve">cushion </t>
  </si>
  <si>
    <t xml:space="preserve">cushion
</t>
  </si>
  <si>
    <t>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</si>
</sst>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06C5-F355-4055-9F9C-552264A240D0}">
  <dimension ref="A1:G21"/>
  <sheetViews>
    <sheetView zoomScale="122" workbookViewId="0">
      <selection activeCell="F5" sqref="F5:F7"/>
    </sheetView>
  </sheetViews>
  <sheetFormatPr defaultRowHeight="14.25" x14ac:dyDescent="0.45"/>
  <cols>
    <col min="6" max="6" width="25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45</v>
      </c>
    </row>
    <row r="2" spans="1:7" x14ac:dyDescent="0.45">
      <c r="A2" t="s">
        <v>3</v>
      </c>
      <c r="B2" t="s">
        <v>4</v>
      </c>
      <c r="C2" t="s">
        <v>5</v>
      </c>
      <c r="D2" t="s">
        <v>4</v>
      </c>
    </row>
    <row r="3" spans="1:7" ht="28.5" x14ac:dyDescent="0.45">
      <c r="A3" t="s">
        <v>6</v>
      </c>
      <c r="B3" t="s">
        <v>7</v>
      </c>
      <c r="C3" t="s">
        <v>8</v>
      </c>
      <c r="D3" s="1" t="s">
        <v>46</v>
      </c>
    </row>
    <row r="4" spans="1:7" x14ac:dyDescent="0.45">
      <c r="A4" t="s">
        <v>9</v>
      </c>
      <c r="B4" t="s">
        <v>10</v>
      </c>
      <c r="C4" t="s">
        <v>8</v>
      </c>
      <c r="D4" t="s">
        <v>10</v>
      </c>
    </row>
    <row r="5" spans="1:7" x14ac:dyDescent="0.45">
      <c r="A5" t="s">
        <v>11</v>
      </c>
      <c r="B5" t="s">
        <v>12</v>
      </c>
      <c r="C5" t="s">
        <v>8</v>
      </c>
      <c r="D5" t="s">
        <v>47</v>
      </c>
      <c r="F5" t="s">
        <v>49</v>
      </c>
      <c r="G5">
        <f>9/15</f>
        <v>0.6</v>
      </c>
    </row>
    <row r="6" spans="1:7" x14ac:dyDescent="0.45">
      <c r="A6" t="s">
        <v>13</v>
      </c>
      <c r="B6" t="s">
        <v>14</v>
      </c>
      <c r="C6" t="s">
        <v>8</v>
      </c>
      <c r="D6" t="s">
        <v>14</v>
      </c>
      <c r="F6" t="s">
        <v>50</v>
      </c>
      <c r="G6">
        <f>2/5</f>
        <v>0.4</v>
      </c>
    </row>
    <row r="7" spans="1:7" x14ac:dyDescent="0.45">
      <c r="A7" t="s">
        <v>15</v>
      </c>
      <c r="B7" t="s">
        <v>16</v>
      </c>
      <c r="C7" t="s">
        <v>5</v>
      </c>
      <c r="D7" t="s">
        <v>16</v>
      </c>
      <c r="F7" t="s">
        <v>51</v>
      </c>
      <c r="G7">
        <f>G5-G6</f>
        <v>0.19999999999999996</v>
      </c>
    </row>
    <row r="8" spans="1:7" x14ac:dyDescent="0.45">
      <c r="A8" t="s">
        <v>17</v>
      </c>
      <c r="B8" t="s">
        <v>18</v>
      </c>
      <c r="C8" t="s">
        <v>8</v>
      </c>
      <c r="D8" t="s">
        <v>18</v>
      </c>
    </row>
    <row r="9" spans="1:7" x14ac:dyDescent="0.45">
      <c r="A9" t="s">
        <v>19</v>
      </c>
      <c r="B9" t="s">
        <v>20</v>
      </c>
      <c r="C9" t="s">
        <v>8</v>
      </c>
      <c r="D9" t="s">
        <v>20</v>
      </c>
    </row>
    <row r="10" spans="1:7" x14ac:dyDescent="0.45">
      <c r="A10" t="s">
        <v>21</v>
      </c>
      <c r="B10" t="s">
        <v>22</v>
      </c>
      <c r="C10" t="s">
        <v>5</v>
      </c>
    </row>
    <row r="11" spans="1:7" x14ac:dyDescent="0.45">
      <c r="A11" t="s">
        <v>23</v>
      </c>
      <c r="B11" t="s">
        <v>24</v>
      </c>
      <c r="C11" t="s">
        <v>8</v>
      </c>
      <c r="D11" t="s">
        <v>24</v>
      </c>
    </row>
    <row r="12" spans="1:7" x14ac:dyDescent="0.45">
      <c r="A12" t="s">
        <v>25</v>
      </c>
      <c r="B12" t="s">
        <v>26</v>
      </c>
      <c r="C12" t="s">
        <v>8</v>
      </c>
      <c r="D12" t="s">
        <v>7</v>
      </c>
    </row>
    <row r="13" spans="1:7" x14ac:dyDescent="0.45">
      <c r="A13" t="s">
        <v>27</v>
      </c>
      <c r="B13" t="s">
        <v>28</v>
      </c>
      <c r="C13" t="s">
        <v>8</v>
      </c>
      <c r="D13" t="s">
        <v>48</v>
      </c>
    </row>
    <row r="14" spans="1:7" x14ac:dyDescent="0.45">
      <c r="A14" t="s">
        <v>29</v>
      </c>
      <c r="B14" t="s">
        <v>30</v>
      </c>
      <c r="C14" t="s">
        <v>8</v>
      </c>
      <c r="D14" t="s">
        <v>48</v>
      </c>
    </row>
    <row r="15" spans="1:7" x14ac:dyDescent="0.45">
      <c r="A15" t="s">
        <v>31</v>
      </c>
      <c r="B15" t="s">
        <v>32</v>
      </c>
      <c r="C15" t="s">
        <v>8</v>
      </c>
      <c r="D15" t="s">
        <v>48</v>
      </c>
    </row>
    <row r="16" spans="1:7" x14ac:dyDescent="0.45">
      <c r="A16" t="s">
        <v>33</v>
      </c>
      <c r="B16" t="s">
        <v>34</v>
      </c>
      <c r="C16" t="s">
        <v>8</v>
      </c>
      <c r="D16" t="s">
        <v>34</v>
      </c>
    </row>
    <row r="17" spans="1:4" x14ac:dyDescent="0.45">
      <c r="A17" t="s">
        <v>35</v>
      </c>
      <c r="B17" t="s">
        <v>36</v>
      </c>
      <c r="C17" t="s">
        <v>8</v>
      </c>
      <c r="D17" t="s">
        <v>36</v>
      </c>
    </row>
    <row r="18" spans="1:4" x14ac:dyDescent="0.45">
      <c r="A18" t="s">
        <v>37</v>
      </c>
      <c r="B18" t="s">
        <v>38</v>
      </c>
      <c r="C18" t="s">
        <v>5</v>
      </c>
      <c r="D18" t="s">
        <v>48</v>
      </c>
    </row>
    <row r="19" spans="1:4" x14ac:dyDescent="0.45">
      <c r="A19" t="s">
        <v>39</v>
      </c>
      <c r="B19" t="s">
        <v>40</v>
      </c>
      <c r="C19" t="s">
        <v>8</v>
      </c>
      <c r="D19" t="s">
        <v>48</v>
      </c>
    </row>
    <row r="20" spans="1:4" x14ac:dyDescent="0.45">
      <c r="A20" t="s">
        <v>41</v>
      </c>
      <c r="B20" t="s">
        <v>42</v>
      </c>
      <c r="C20" t="s">
        <v>5</v>
      </c>
      <c r="D20" t="s">
        <v>48</v>
      </c>
    </row>
    <row r="21" spans="1:4" x14ac:dyDescent="0.45">
      <c r="A21" t="s">
        <v>43</v>
      </c>
      <c r="B21" t="s">
        <v>44</v>
      </c>
      <c r="C21" t="s">
        <v>8</v>
      </c>
      <c r="D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164D-2879-49C8-80AF-64D80DDC2C3D}">
  <dimension ref="A1:G21"/>
  <sheetViews>
    <sheetView workbookViewId="0">
      <selection activeCell="G12" sqref="G12"/>
    </sheetView>
  </sheetViews>
  <sheetFormatPr defaultRowHeight="14.25" x14ac:dyDescent="0.45"/>
  <cols>
    <col min="6" max="6" width="25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45</v>
      </c>
    </row>
    <row r="2" spans="1:7" ht="28.5" x14ac:dyDescent="0.45">
      <c r="A2" t="s">
        <v>19</v>
      </c>
      <c r="B2" t="s">
        <v>20</v>
      </c>
      <c r="C2" t="s">
        <v>8</v>
      </c>
      <c r="D2" s="1" t="s">
        <v>54</v>
      </c>
    </row>
    <row r="3" spans="1:7" x14ac:dyDescent="0.45">
      <c r="A3" t="s">
        <v>37</v>
      </c>
      <c r="B3" t="s">
        <v>38</v>
      </c>
      <c r="C3" t="s">
        <v>5</v>
      </c>
      <c r="D3" t="s">
        <v>38</v>
      </c>
      <c r="F3" t="s">
        <v>49</v>
      </c>
      <c r="G3">
        <f>12/15</f>
        <v>0.8</v>
      </c>
    </row>
    <row r="4" spans="1:7" x14ac:dyDescent="0.45">
      <c r="A4" t="s">
        <v>25</v>
      </c>
      <c r="B4" t="s">
        <v>26</v>
      </c>
      <c r="C4" t="s">
        <v>8</v>
      </c>
      <c r="D4" t="s">
        <v>26</v>
      </c>
      <c r="F4" t="s">
        <v>50</v>
      </c>
      <c r="G4">
        <f>5/5</f>
        <v>1</v>
      </c>
    </row>
    <row r="5" spans="1:7" x14ac:dyDescent="0.45">
      <c r="A5" t="s">
        <v>15</v>
      </c>
      <c r="B5" t="s">
        <v>16</v>
      </c>
      <c r="C5" t="s">
        <v>5</v>
      </c>
      <c r="D5" t="s">
        <v>16</v>
      </c>
      <c r="F5" t="s">
        <v>51</v>
      </c>
      <c r="G5">
        <f>G3-G4</f>
        <v>-0.19999999999999996</v>
      </c>
    </row>
    <row r="6" spans="1:7" x14ac:dyDescent="0.45">
      <c r="A6" t="s">
        <v>27</v>
      </c>
      <c r="B6" t="s">
        <v>28</v>
      </c>
      <c r="C6" t="s">
        <v>8</v>
      </c>
    </row>
    <row r="7" spans="1:7" x14ac:dyDescent="0.45">
      <c r="A7" t="s">
        <v>35</v>
      </c>
      <c r="B7" t="s">
        <v>36</v>
      </c>
      <c r="C7" t="s">
        <v>8</v>
      </c>
      <c r="D7" t="s">
        <v>36</v>
      </c>
    </row>
    <row r="8" spans="1:7" x14ac:dyDescent="0.45">
      <c r="A8" t="s">
        <v>9</v>
      </c>
      <c r="B8" t="s">
        <v>10</v>
      </c>
      <c r="C8" t="s">
        <v>8</v>
      </c>
      <c r="D8" t="s">
        <v>10</v>
      </c>
    </row>
    <row r="9" spans="1:7" x14ac:dyDescent="0.45">
      <c r="A9" t="s">
        <v>43</v>
      </c>
      <c r="B9" t="s">
        <v>44</v>
      </c>
      <c r="C9" t="s">
        <v>8</v>
      </c>
      <c r="D9" t="s">
        <v>55</v>
      </c>
    </row>
    <row r="10" spans="1:7" x14ac:dyDescent="0.45">
      <c r="A10" t="s">
        <v>13</v>
      </c>
      <c r="B10" t="s">
        <v>14</v>
      </c>
      <c r="C10" t="s">
        <v>8</v>
      </c>
      <c r="D10" t="s">
        <v>14</v>
      </c>
    </row>
    <row r="11" spans="1:7" x14ac:dyDescent="0.45">
      <c r="A11" t="s">
        <v>17</v>
      </c>
      <c r="B11" t="s">
        <v>18</v>
      </c>
      <c r="C11" t="s">
        <v>8</v>
      </c>
      <c r="D11" t="s">
        <v>18</v>
      </c>
    </row>
    <row r="12" spans="1:7" x14ac:dyDescent="0.45">
      <c r="A12" t="s">
        <v>39</v>
      </c>
      <c r="B12" t="s">
        <v>40</v>
      </c>
      <c r="C12" t="s">
        <v>8</v>
      </c>
      <c r="D12" t="s">
        <v>40</v>
      </c>
    </row>
    <row r="13" spans="1:7" x14ac:dyDescent="0.45">
      <c r="A13" t="s">
        <v>31</v>
      </c>
      <c r="B13" t="s">
        <v>32</v>
      </c>
      <c r="C13" t="s">
        <v>8</v>
      </c>
      <c r="D13" t="s">
        <v>32</v>
      </c>
    </row>
    <row r="14" spans="1:7" x14ac:dyDescent="0.45">
      <c r="A14" t="s">
        <v>33</v>
      </c>
      <c r="B14" t="s">
        <v>34</v>
      </c>
      <c r="C14" t="s">
        <v>8</v>
      </c>
      <c r="D14" t="s">
        <v>34</v>
      </c>
    </row>
    <row r="15" spans="1:7" x14ac:dyDescent="0.45">
      <c r="A15" t="s">
        <v>41</v>
      </c>
      <c r="B15" t="s">
        <v>42</v>
      </c>
      <c r="C15" t="s">
        <v>5</v>
      </c>
      <c r="D15" t="s">
        <v>42</v>
      </c>
    </row>
    <row r="16" spans="1:7" x14ac:dyDescent="0.45">
      <c r="A16" t="s">
        <v>11</v>
      </c>
      <c r="B16" t="s">
        <v>12</v>
      </c>
      <c r="C16" t="s">
        <v>8</v>
      </c>
      <c r="D16" t="s">
        <v>12</v>
      </c>
    </row>
    <row r="17" spans="1:4" x14ac:dyDescent="0.45">
      <c r="A17" t="s">
        <v>6</v>
      </c>
      <c r="B17" t="s">
        <v>7</v>
      </c>
      <c r="C17" t="s">
        <v>8</v>
      </c>
      <c r="D17" t="s">
        <v>7</v>
      </c>
    </row>
    <row r="18" spans="1:4" x14ac:dyDescent="0.45">
      <c r="A18" t="s">
        <v>29</v>
      </c>
      <c r="B18" t="s">
        <v>30</v>
      </c>
      <c r="C18" t="s">
        <v>8</v>
      </c>
      <c r="D18" t="s">
        <v>56</v>
      </c>
    </row>
    <row r="19" spans="1:4" x14ac:dyDescent="0.45">
      <c r="A19" t="s">
        <v>21</v>
      </c>
      <c r="B19" t="s">
        <v>22</v>
      </c>
      <c r="C19" t="s">
        <v>5</v>
      </c>
      <c r="D19" t="s">
        <v>22</v>
      </c>
    </row>
    <row r="20" spans="1:4" x14ac:dyDescent="0.45">
      <c r="A20" t="s">
        <v>23</v>
      </c>
      <c r="B20" t="s">
        <v>24</v>
      </c>
      <c r="C20" t="s">
        <v>8</v>
      </c>
    </row>
    <row r="21" spans="1:4" x14ac:dyDescent="0.45">
      <c r="A21" t="s">
        <v>3</v>
      </c>
      <c r="B21" t="s">
        <v>4</v>
      </c>
      <c r="C21" t="s">
        <v>5</v>
      </c>
      <c r="D2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BAF6-F147-492D-A0AF-5E5ADC6B44A1}">
  <dimension ref="A1:G21"/>
  <sheetViews>
    <sheetView workbookViewId="0">
      <selection activeCell="G7" sqref="G7"/>
    </sheetView>
  </sheetViews>
  <sheetFormatPr defaultRowHeight="14.25" x14ac:dyDescent="0.45"/>
  <cols>
    <col min="6" max="6" width="25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45</v>
      </c>
    </row>
    <row r="2" spans="1:7" x14ac:dyDescent="0.45">
      <c r="A2" t="s">
        <v>17</v>
      </c>
      <c r="B2" t="s">
        <v>18</v>
      </c>
      <c r="C2" t="s">
        <v>8</v>
      </c>
      <c r="D2" t="s">
        <v>22</v>
      </c>
    </row>
    <row r="3" spans="1:7" x14ac:dyDescent="0.45">
      <c r="A3" t="s">
        <v>19</v>
      </c>
      <c r="B3" t="s">
        <v>20</v>
      </c>
      <c r="C3" t="s">
        <v>8</v>
      </c>
      <c r="D3" t="s">
        <v>20</v>
      </c>
    </row>
    <row r="4" spans="1:7" x14ac:dyDescent="0.45">
      <c r="A4" t="s">
        <v>15</v>
      </c>
      <c r="B4" t="s">
        <v>16</v>
      </c>
      <c r="C4" t="s">
        <v>5</v>
      </c>
      <c r="F4" t="s">
        <v>49</v>
      </c>
      <c r="G4">
        <f>10/15</f>
        <v>0.66666666666666663</v>
      </c>
    </row>
    <row r="5" spans="1:7" ht="28.5" x14ac:dyDescent="0.45">
      <c r="A5" t="s">
        <v>29</v>
      </c>
      <c r="B5" t="s">
        <v>30</v>
      </c>
      <c r="C5" t="s">
        <v>8</v>
      </c>
      <c r="D5" s="1" t="s">
        <v>57</v>
      </c>
      <c r="F5" t="s">
        <v>50</v>
      </c>
      <c r="G5">
        <f>4/5</f>
        <v>0.8</v>
      </c>
    </row>
    <row r="6" spans="1:7" x14ac:dyDescent="0.45">
      <c r="A6" t="s">
        <v>35</v>
      </c>
      <c r="B6" t="s">
        <v>36</v>
      </c>
      <c r="C6" t="s">
        <v>8</v>
      </c>
      <c r="D6" t="s">
        <v>36</v>
      </c>
      <c r="F6" t="s">
        <v>51</v>
      </c>
      <c r="G6">
        <f>G4-G5</f>
        <v>-0.13333333333333341</v>
      </c>
    </row>
    <row r="7" spans="1:7" x14ac:dyDescent="0.45">
      <c r="A7" t="s">
        <v>13</v>
      </c>
      <c r="B7" t="s">
        <v>14</v>
      </c>
      <c r="C7" t="s">
        <v>8</v>
      </c>
      <c r="D7" t="s">
        <v>14</v>
      </c>
    </row>
    <row r="8" spans="1:7" x14ac:dyDescent="0.45">
      <c r="A8" t="s">
        <v>9</v>
      </c>
      <c r="B8" t="s">
        <v>10</v>
      </c>
      <c r="C8" t="s">
        <v>8</v>
      </c>
      <c r="D8" t="s">
        <v>10</v>
      </c>
    </row>
    <row r="9" spans="1:7" x14ac:dyDescent="0.45">
      <c r="A9" t="s">
        <v>39</v>
      </c>
      <c r="B9" t="s">
        <v>40</v>
      </c>
      <c r="C9" t="s">
        <v>8</v>
      </c>
      <c r="D9" t="s">
        <v>58</v>
      </c>
    </row>
    <row r="10" spans="1:7" x14ac:dyDescent="0.45">
      <c r="A10" t="s">
        <v>27</v>
      </c>
      <c r="B10" t="s">
        <v>28</v>
      </c>
      <c r="C10" t="s">
        <v>8</v>
      </c>
      <c r="D10" t="s">
        <v>28</v>
      </c>
    </row>
    <row r="11" spans="1:7" x14ac:dyDescent="0.45">
      <c r="A11" t="s">
        <v>41</v>
      </c>
      <c r="B11" t="s">
        <v>42</v>
      </c>
      <c r="C11" t="s">
        <v>5</v>
      </c>
      <c r="D11" t="s">
        <v>42</v>
      </c>
    </row>
    <row r="12" spans="1:7" x14ac:dyDescent="0.45">
      <c r="A12" t="s">
        <v>3</v>
      </c>
      <c r="B12" t="s">
        <v>4</v>
      </c>
      <c r="C12" t="s">
        <v>5</v>
      </c>
      <c r="D12" t="s">
        <v>4</v>
      </c>
    </row>
    <row r="13" spans="1:7" x14ac:dyDescent="0.45">
      <c r="A13" t="s">
        <v>43</v>
      </c>
      <c r="B13" t="s">
        <v>44</v>
      </c>
      <c r="C13" t="s">
        <v>8</v>
      </c>
    </row>
    <row r="14" spans="1:7" x14ac:dyDescent="0.45">
      <c r="A14" t="s">
        <v>6</v>
      </c>
      <c r="B14" t="s">
        <v>7</v>
      </c>
      <c r="C14" t="s">
        <v>8</v>
      </c>
      <c r="D14" t="s">
        <v>7</v>
      </c>
    </row>
    <row r="15" spans="1:7" x14ac:dyDescent="0.45">
      <c r="A15" t="s">
        <v>31</v>
      </c>
      <c r="B15" t="s">
        <v>32</v>
      </c>
      <c r="C15" t="s">
        <v>8</v>
      </c>
      <c r="D15" t="s">
        <v>32</v>
      </c>
    </row>
    <row r="16" spans="1:7" x14ac:dyDescent="0.45">
      <c r="A16" t="s">
        <v>37</v>
      </c>
      <c r="B16" t="s">
        <v>38</v>
      </c>
      <c r="C16" t="s">
        <v>5</v>
      </c>
      <c r="D16" t="s">
        <v>38</v>
      </c>
    </row>
    <row r="17" spans="1:4" x14ac:dyDescent="0.45">
      <c r="A17" t="s">
        <v>11</v>
      </c>
      <c r="B17" t="s">
        <v>12</v>
      </c>
      <c r="C17" t="s">
        <v>8</v>
      </c>
      <c r="D17" t="s">
        <v>12</v>
      </c>
    </row>
    <row r="18" spans="1:4" x14ac:dyDescent="0.45">
      <c r="A18" t="s">
        <v>21</v>
      </c>
      <c r="B18" t="s">
        <v>22</v>
      </c>
      <c r="C18" t="s">
        <v>5</v>
      </c>
      <c r="D18" t="s">
        <v>22</v>
      </c>
    </row>
    <row r="19" spans="1:4" x14ac:dyDescent="0.45">
      <c r="A19" t="s">
        <v>33</v>
      </c>
      <c r="B19" t="s">
        <v>34</v>
      </c>
      <c r="C19" t="s">
        <v>8</v>
      </c>
      <c r="D19" t="s">
        <v>34</v>
      </c>
    </row>
    <row r="20" spans="1:4" x14ac:dyDescent="0.45">
      <c r="A20" t="s">
        <v>25</v>
      </c>
      <c r="B20" t="s">
        <v>26</v>
      </c>
      <c r="C20" t="s">
        <v>8</v>
      </c>
    </row>
    <row r="21" spans="1:4" x14ac:dyDescent="0.45">
      <c r="A21" t="s">
        <v>23</v>
      </c>
      <c r="B21" t="s">
        <v>24</v>
      </c>
      <c r="C2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99DE-4C4D-4BD8-88E4-52936BA37CD9}">
  <dimension ref="A1:G21"/>
  <sheetViews>
    <sheetView tabSelected="1" workbookViewId="0">
      <selection activeCell="G4" sqref="G4"/>
    </sheetView>
  </sheetViews>
  <sheetFormatPr defaultRowHeight="14.25" x14ac:dyDescent="0.45"/>
  <cols>
    <col min="6" max="6" width="25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45</v>
      </c>
    </row>
    <row r="2" spans="1:7" x14ac:dyDescent="0.45">
      <c r="A2" t="s">
        <v>13</v>
      </c>
      <c r="B2" t="s">
        <v>14</v>
      </c>
      <c r="C2" t="s">
        <v>8</v>
      </c>
      <c r="D2" t="s">
        <v>14</v>
      </c>
    </row>
    <row r="3" spans="1:7" x14ac:dyDescent="0.45">
      <c r="A3" t="s">
        <v>41</v>
      </c>
      <c r="B3" t="s">
        <v>42</v>
      </c>
      <c r="C3" t="s">
        <v>5</v>
      </c>
      <c r="D3" t="s">
        <v>42</v>
      </c>
    </row>
    <row r="4" spans="1:7" x14ac:dyDescent="0.45">
      <c r="A4" t="s">
        <v>31</v>
      </c>
      <c r="B4" t="s">
        <v>32</v>
      </c>
      <c r="C4" t="s">
        <v>8</v>
      </c>
      <c r="F4" t="s">
        <v>49</v>
      </c>
      <c r="G4">
        <f>13/15</f>
        <v>0.8666666666666667</v>
      </c>
    </row>
    <row r="5" spans="1:7" x14ac:dyDescent="0.45">
      <c r="A5" t="s">
        <v>25</v>
      </c>
      <c r="B5" t="s">
        <v>26</v>
      </c>
      <c r="C5" t="s">
        <v>8</v>
      </c>
      <c r="D5" t="s">
        <v>26</v>
      </c>
      <c r="F5" t="s">
        <v>50</v>
      </c>
      <c r="G5">
        <f>4/5</f>
        <v>0.8</v>
      </c>
    </row>
    <row r="6" spans="1:7" x14ac:dyDescent="0.45">
      <c r="A6" t="s">
        <v>39</v>
      </c>
      <c r="B6" t="s">
        <v>40</v>
      </c>
      <c r="C6" t="s">
        <v>8</v>
      </c>
      <c r="D6" t="s">
        <v>40</v>
      </c>
      <c r="F6" t="s">
        <v>51</v>
      </c>
      <c r="G6">
        <f>G4-G5</f>
        <v>6.6666666666666652E-2</v>
      </c>
    </row>
    <row r="7" spans="1:7" x14ac:dyDescent="0.45">
      <c r="A7" t="s">
        <v>6</v>
      </c>
      <c r="B7" t="s">
        <v>7</v>
      </c>
      <c r="C7" t="s">
        <v>8</v>
      </c>
      <c r="D7" t="s">
        <v>52</v>
      </c>
    </row>
    <row r="8" spans="1:7" x14ac:dyDescent="0.45">
      <c r="A8" t="s">
        <v>19</v>
      </c>
      <c r="B8" t="s">
        <v>20</v>
      </c>
      <c r="C8" t="s">
        <v>8</v>
      </c>
      <c r="D8" t="s">
        <v>20</v>
      </c>
    </row>
    <row r="9" spans="1:7" x14ac:dyDescent="0.45">
      <c r="A9" t="s">
        <v>35</v>
      </c>
      <c r="B9" t="s">
        <v>36</v>
      </c>
      <c r="C9" t="s">
        <v>8</v>
      </c>
      <c r="D9" t="s">
        <v>36</v>
      </c>
    </row>
    <row r="10" spans="1:7" x14ac:dyDescent="0.45">
      <c r="A10" t="s">
        <v>9</v>
      </c>
      <c r="B10" t="s">
        <v>10</v>
      </c>
      <c r="C10" t="s">
        <v>8</v>
      </c>
      <c r="D10" t="s">
        <v>10</v>
      </c>
    </row>
    <row r="11" spans="1:7" x14ac:dyDescent="0.45">
      <c r="A11" t="s">
        <v>15</v>
      </c>
      <c r="B11" t="s">
        <v>16</v>
      </c>
      <c r="C11" t="s">
        <v>5</v>
      </c>
      <c r="D11" t="s">
        <v>16</v>
      </c>
    </row>
    <row r="12" spans="1:7" x14ac:dyDescent="0.45">
      <c r="A12" t="s">
        <v>37</v>
      </c>
      <c r="B12" t="s">
        <v>38</v>
      </c>
      <c r="C12" t="s">
        <v>5</v>
      </c>
      <c r="D12" t="s">
        <v>38</v>
      </c>
    </row>
    <row r="13" spans="1:7" x14ac:dyDescent="0.45">
      <c r="A13" t="s">
        <v>43</v>
      </c>
      <c r="B13" t="s">
        <v>44</v>
      </c>
      <c r="C13" t="s">
        <v>8</v>
      </c>
    </row>
    <row r="14" spans="1:7" x14ac:dyDescent="0.45">
      <c r="A14" t="s">
        <v>17</v>
      </c>
      <c r="B14" t="s">
        <v>18</v>
      </c>
      <c r="C14" t="s">
        <v>8</v>
      </c>
      <c r="D14" t="s">
        <v>18</v>
      </c>
    </row>
    <row r="15" spans="1:7" x14ac:dyDescent="0.45">
      <c r="A15" t="s">
        <v>11</v>
      </c>
      <c r="B15" t="s">
        <v>12</v>
      </c>
      <c r="C15" t="s">
        <v>8</v>
      </c>
      <c r="D15" t="s">
        <v>12</v>
      </c>
    </row>
    <row r="16" spans="1:7" x14ac:dyDescent="0.45">
      <c r="A16" t="s">
        <v>21</v>
      </c>
      <c r="B16" t="s">
        <v>22</v>
      </c>
      <c r="C16" t="s">
        <v>5</v>
      </c>
      <c r="D16" t="s">
        <v>22</v>
      </c>
    </row>
    <row r="17" spans="1:4" x14ac:dyDescent="0.45">
      <c r="A17" t="s">
        <v>23</v>
      </c>
      <c r="B17" t="s">
        <v>24</v>
      </c>
      <c r="C17" t="s">
        <v>8</v>
      </c>
      <c r="D17" t="s">
        <v>24</v>
      </c>
    </row>
    <row r="18" spans="1:4" x14ac:dyDescent="0.45">
      <c r="A18" t="s">
        <v>3</v>
      </c>
      <c r="B18" t="s">
        <v>4</v>
      </c>
      <c r="C18" t="s">
        <v>5</v>
      </c>
      <c r="D18" t="s">
        <v>53</v>
      </c>
    </row>
    <row r="19" spans="1:4" x14ac:dyDescent="0.45">
      <c r="A19" t="s">
        <v>33</v>
      </c>
      <c r="B19" t="s">
        <v>34</v>
      </c>
      <c r="C19" t="s">
        <v>8</v>
      </c>
      <c r="D19" t="s">
        <v>34</v>
      </c>
    </row>
    <row r="20" spans="1:4" x14ac:dyDescent="0.45">
      <c r="A20" t="s">
        <v>29</v>
      </c>
      <c r="B20" t="s">
        <v>30</v>
      </c>
      <c r="C20" t="s">
        <v>8</v>
      </c>
      <c r="D20" t="s">
        <v>30</v>
      </c>
    </row>
    <row r="21" spans="1:4" x14ac:dyDescent="0.45">
      <c r="A21" t="s">
        <v>27</v>
      </c>
      <c r="B21" t="s">
        <v>28</v>
      </c>
      <c r="C21" t="s">
        <v>8</v>
      </c>
      <c r="D2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2025-10-13T16:06:31Z</dcterms:created>
  <dcterms:modified xsi:type="dcterms:W3CDTF">2025-10-14T11:30:25Z</dcterms:modified>
</cp:coreProperties>
</file>